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Nome Colaborador" sheetId="2" r:id="rId6"/>
  </sheets>
  <definedNames/>
  <calcPr/>
</workbook>
</file>

<file path=xl/sharedStrings.xml><?xml version="1.0" encoding="utf-8"?>
<sst xmlns="http://schemas.openxmlformats.org/spreadsheetml/2006/main" count="34" uniqueCount="34">
  <si>
    <t>CONSOLIDADO — SINOSBYTE</t>
  </si>
  <si>
    <t>Preencha o Mês e o Ano de referência abaixo — todas as abas se ajustam sozinhas.</t>
  </si>
  <si>
    <t>Mês de referência (1 a 12):</t>
  </si>
  <si>
    <t>Ano de referência:</t>
  </si>
  <si>
    <t>Mês:</t>
  </si>
  <si>
    <t>Preencha apenas as células amarelas (Entrada, Saída Almoço, Retorno Almoço, Saída). O Total de Horas e o Total do Mês são calculados automaticamente. O mês/ano é definido na aba Consolidado.</t>
  </si>
  <si>
    <t>Colaborador:</t>
  </si>
  <si>
    <t>Cargo:</t>
  </si>
  <si>
    <t>Empresa:</t>
  </si>
  <si>
    <t>Squad:</t>
  </si>
  <si>
    <t>Valor Hora (R$):</t>
  </si>
  <si>
    <t>Mês/Ano:</t>
  </si>
  <si>
    <t>Revise a coluna VALOR HORA (em azul) se houve reajuste. As colunas TOTAL DE HORAS e TOTAL R$ MENSAL são calculadas automaticamente a partir da aba de cada colaborador.</t>
  </si>
  <si>
    <t>COLABORADOR</t>
  </si>
  <si>
    <t>CARGO/FUNÇÃO</t>
  </si>
  <si>
    <t>SENIORIDADE</t>
  </si>
  <si>
    <t>NOME FORNECEDOR</t>
  </si>
  <si>
    <t>SQUAD</t>
  </si>
  <si>
    <t>RESPONSÁVEL IMEDIATO</t>
  </si>
  <si>
    <t>% ALOCAÇÃO</t>
  </si>
  <si>
    <t>VALOR HORA</t>
  </si>
  <si>
    <t>TOTAL DE HORAS</t>
  </si>
  <si>
    <t>TOTAL R$ MENSAL</t>
  </si>
  <si>
    <t>Data</t>
  </si>
  <si>
    <t>MÊS</t>
  </si>
  <si>
    <t>Dia da Semana</t>
  </si>
  <si>
    <t>Entrada</t>
  </si>
  <si>
    <t>Saída Almoço</t>
  </si>
  <si>
    <t>Retorno Almoço</t>
  </si>
  <si>
    <t>Saída</t>
  </si>
  <si>
    <t>Total Horas</t>
  </si>
  <si>
    <t>Observações</t>
  </si>
  <si>
    <t>TOTAL HORAS DO MÊS</t>
  </si>
  <si>
    <t>TOTAL R$ MENSAL (estimado)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</si>
</sst>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8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9.0"/>
      <color rgb="FF595959"/>
      <name val="Arial"/>
    </font>
    <font>
      <b/>
      <sz val="10.0"/>
      <color theme="1"/>
      <name val="Arial"/>
    </font>
    <font>
      <b/>
      <sz val="11.0"/>
      <color rgb="FF0000FF"/>
      <name val="Arial"/>
    </font>
    <font>
      <sz val="10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0" fillId="0" fontId="5" numFmtId="0" xfId="0" applyFont="1"/>
    <xf borderId="0" fillId="0" fontId="5" numFmtId="164" xfId="0" applyFont="1" applyNumberFormat="1"/>
    <xf borderId="1" fillId="3" fontId="6" numFmtId="0" xfId="0" applyAlignment="1" applyBorder="1" applyFill="1" applyFont="1">
      <alignment horizontal="center" shrinkToFit="0" wrapText="1"/>
    </xf>
    <xf borderId="1" fillId="0" fontId="5" numFmtId="0" xfId="0" applyBorder="1" applyFont="1"/>
    <xf borderId="1" fillId="3" fontId="6" numFmtId="0" xfId="0" applyAlignment="1" applyBorder="1" applyFill="1" applyFont="1">
      <alignment horizontal="center"/>
    </xf>
    <xf borderId="1" fillId="0" fontId="5" numFmtId="9" xfId="0" applyBorder="1" applyFont="1" applyNumberFormat="1"/>
    <xf borderId="1" fillId="2" fontId="4" numFmtId="164" xfId="0" applyBorder="1" applyFill="1" applyFont="1" applyNumberFormat="1"/>
    <xf borderId="1" fillId="0" fontId="5" numFmtId="2" xfId="0" applyBorder="1" applyFont="1" applyNumberFormat="1"/>
    <xf borderId="1" fillId="0" fontId="5" numFmtId="14" xfId="0" applyBorder="1" applyFont="1" applyNumberFormat="1"/>
    <xf borderId="1" fillId="4" fontId="5" numFmtId="20" xfId="0" applyAlignment="1" applyBorder="1" applyFill="1" applyFont="1" applyNumberFormat="1">
      <alignment horizontal="center"/>
    </xf>
    <xf borderId="1" fillId="0" fontId="5" numFmtId="164" xfId="0" applyBorder="1" applyFont="1" applyNumberFormat="1"/>
    <xf borderId="1" fillId="0" fontId="5" numFmtId="2" xfId="0" applyAlignment="1" applyBorder="1" applyFont="1" applyNumberFormat="1">
      <alignment horizontal="center"/>
    </xf>
    <xf borderId="1" fillId="0" fontId="3" numFmtId="0" xfId="0" applyAlignment="1" applyBorder="1" applyFont="1">
      <alignment horizontal="right"/>
    </xf>
    <xf borderId="1" fillId="5" fontId="3" numFmtId="2" xfId="0" applyBorder="1" applyFill="1" applyFont="1" applyNumberFormat="1"/>
    <xf borderId="0" fillId="0" fontId="5" numFmtId="0" xfId="0" applyAlignment="1" applyFont="1">
      <alignment horizontal="right"/>
    </xf>
    <xf borderId="0" fillId="0" fontId="7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4" width="14.0"/>
    <col customWidth="1" min="5" max="5" width="22.0"/>
    <col customWidth="1" min="6" max="6" width="26.0"/>
    <col customWidth="1" min="7" max="8" width="12.0"/>
    <col customWidth="1" min="9" max="9" width="14.0"/>
    <col customWidth="1" min="10" max="10" width="16.0"/>
    <col customWidth="1" min="11" max="11" width="12.0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D4" s="3" t="s">
        <v>3</v>
      </c>
      <c r="E4" s="4"/>
      <c r="G4" s="3" t="s">
        <v>4</v>
      </c>
      <c r="H4" s="5" t="str">
        <f>CHOOSE(B4,"JANEIRO","FEVEREIRO","MARÇO","ABRIL","MAIO","JUNHO","JULHO","AGOSTO","SETEMBRO","OUTUBRO","NOVEMBRO","DEZEMBRO")</f>
        <v>#NUM!</v>
      </c>
    </row>
    <row r="6">
      <c r="A6" s="2" t="s">
        <v>12</v>
      </c>
    </row>
    <row r="8">
      <c r="A8" s="7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21</v>
      </c>
      <c r="J8" s="7" t="s">
        <v>22</v>
      </c>
      <c r="K8" s="7" t="s">
        <v>24</v>
      </c>
    </row>
    <row r="9">
      <c r="A9" s="8"/>
      <c r="B9" s="8"/>
      <c r="C9" s="8"/>
      <c r="D9" s="8"/>
      <c r="E9" s="8"/>
      <c r="F9" s="8"/>
      <c r="G9" s="10"/>
      <c r="H9" s="11"/>
      <c r="I9" s="12">
        <f>'Nome Colaborador'!G40</f>
        <v>0</v>
      </c>
      <c r="J9" s="15">
        <f>H9*I9</f>
        <v>0</v>
      </c>
      <c r="K9" s="8" t="str">
        <f>$H$4</f>
        <v>#NUM!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K1"/>
    <mergeCell ref="A2:K2"/>
    <mergeCell ref="A6:K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12.0"/>
    <col customWidth="1" min="4" max="5" width="14.0"/>
    <col customWidth="1" min="6" max="7" width="12.0"/>
    <col customWidth="1" min="8" max="8" width="24.0"/>
  </cols>
  <sheetData>
    <row r="1">
      <c r="A1" s="1" t="str">
        <f>"REGISTRO DE PONTO — George Harrison — SINOSBYTE — " &amp; Consolidado!$H$4 &amp; "/" &amp; Consolidado!$E$4</f>
        <v>#NUM!</v>
      </c>
    </row>
    <row r="2">
      <c r="A2" s="2" t="s">
        <v>5</v>
      </c>
    </row>
    <row r="4">
      <c r="A4" s="3" t="s">
        <v>6</v>
      </c>
      <c r="B4" s="5"/>
      <c r="D4" s="3" t="s">
        <v>7</v>
      </c>
      <c r="E4" s="5"/>
      <c r="G4" s="3" t="s">
        <v>8</v>
      </c>
      <c r="H4" s="5"/>
    </row>
    <row r="5">
      <c r="A5" s="3" t="s">
        <v>9</v>
      </c>
      <c r="B5" s="5"/>
      <c r="D5" s="3" t="s">
        <v>10</v>
      </c>
      <c r="E5" s="6" t="str">
        <f>Consolidado!H9</f>
        <v/>
      </c>
      <c r="G5" s="3" t="s">
        <v>11</v>
      </c>
      <c r="H5" s="5" t="str">
        <f>Consolidado!$H$4&amp;"/"&amp;Consolidado!$E$4</f>
        <v>#NUM!</v>
      </c>
    </row>
    <row r="7">
      <c r="A7" s="9" t="s">
        <v>23</v>
      </c>
      <c r="B7" s="9" t="s">
        <v>25</v>
      </c>
      <c r="C7" s="9" t="s">
        <v>26</v>
      </c>
      <c r="D7" s="9" t="s">
        <v>27</v>
      </c>
      <c r="E7" s="9" t="s">
        <v>28</v>
      </c>
      <c r="F7" s="9" t="s">
        <v>29</v>
      </c>
      <c r="G7" s="9" t="s">
        <v>30</v>
      </c>
      <c r="H7" s="9" t="s">
        <v>31</v>
      </c>
    </row>
    <row r="8">
      <c r="A8" s="13" t="str">
        <f>IF(1&lt;=DAY(EOMONTH(DATE(Consolidado!$E$4,Consolidado!$B$4,1),0)),DATE(Consolidado!$E$4,Consolidado!$B$4,1),"")</f>
        <v>#NUM!</v>
      </c>
      <c r="B8" s="8" t="str">
        <f t="shared" ref="B8:B38" si="1">IF(A8="","",CHOOSE(WEEKDAY(A8,2),"Segunda-feira","Terça-feira","Quarta-feira","Quinta-feira","Sexta-feira","Sábado","Domingo"))</f>
        <v>#NUM!</v>
      </c>
      <c r="C8" s="14"/>
      <c r="D8" s="14"/>
      <c r="E8" s="14"/>
      <c r="F8" s="14"/>
      <c r="G8" s="16" t="str">
        <f t="shared" ref="G8:G38" si="2">IF(OR(C8="",D8="",E8="",F8=""),"",(D8-C8)*24+(F8-E8)*24)</f>
        <v/>
      </c>
      <c r="H8" s="8"/>
    </row>
    <row r="9">
      <c r="A9" s="13" t="str">
        <f>IF(2&lt;=DAY(EOMONTH(DATE(Consolidado!$E$4,Consolidado!$B$4,1),0)),DATE(Consolidado!$E$4,Consolidado!$B$4,2),"")</f>
        <v>#NUM!</v>
      </c>
      <c r="B9" s="8" t="str">
        <f t="shared" si="1"/>
        <v>#NUM!</v>
      </c>
      <c r="C9" s="14"/>
      <c r="D9" s="14"/>
      <c r="E9" s="14"/>
      <c r="F9" s="14"/>
      <c r="G9" s="16" t="str">
        <f t="shared" si="2"/>
        <v/>
      </c>
      <c r="H9" s="8"/>
    </row>
    <row r="10">
      <c r="A10" s="13" t="str">
        <f>IF(3&lt;=DAY(EOMONTH(DATE(Consolidado!$E$4,Consolidado!$B$4,1),0)),DATE(Consolidado!$E$4,Consolidado!$B$4,3),"")</f>
        <v>#NUM!</v>
      </c>
      <c r="B10" s="8" t="str">
        <f t="shared" si="1"/>
        <v>#NUM!</v>
      </c>
      <c r="C10" s="14"/>
      <c r="D10" s="14"/>
      <c r="E10" s="14"/>
      <c r="F10" s="14"/>
      <c r="G10" s="16" t="str">
        <f t="shared" si="2"/>
        <v/>
      </c>
      <c r="H10" s="8"/>
    </row>
    <row r="11">
      <c r="A11" s="13" t="str">
        <f>IF(4&lt;=DAY(EOMONTH(DATE(Consolidado!$E$4,Consolidado!$B$4,1),0)),DATE(Consolidado!$E$4,Consolidado!$B$4,4),"")</f>
        <v>#NUM!</v>
      </c>
      <c r="B11" s="8" t="str">
        <f t="shared" si="1"/>
        <v>#NUM!</v>
      </c>
      <c r="C11" s="14"/>
      <c r="D11" s="14"/>
      <c r="E11" s="14"/>
      <c r="F11" s="14"/>
      <c r="G11" s="16" t="str">
        <f t="shared" si="2"/>
        <v/>
      </c>
      <c r="H11" s="8"/>
    </row>
    <row r="12">
      <c r="A12" s="13" t="str">
        <f>IF(5&lt;=DAY(EOMONTH(DATE(Consolidado!$E$4,Consolidado!$B$4,1),0)),DATE(Consolidado!$E$4,Consolidado!$B$4,5),"")</f>
        <v>#NUM!</v>
      </c>
      <c r="B12" s="8" t="str">
        <f t="shared" si="1"/>
        <v>#NUM!</v>
      </c>
      <c r="C12" s="14"/>
      <c r="D12" s="14"/>
      <c r="E12" s="14"/>
      <c r="F12" s="14"/>
      <c r="G12" s="16" t="str">
        <f t="shared" si="2"/>
        <v/>
      </c>
      <c r="H12" s="8"/>
    </row>
    <row r="13">
      <c r="A13" s="13" t="str">
        <f>IF(6&lt;=DAY(EOMONTH(DATE(Consolidado!$E$4,Consolidado!$B$4,1),0)),DATE(Consolidado!$E$4,Consolidado!$B$4,6),"")</f>
        <v>#NUM!</v>
      </c>
      <c r="B13" s="8" t="str">
        <f t="shared" si="1"/>
        <v>#NUM!</v>
      </c>
      <c r="C13" s="14"/>
      <c r="D13" s="14"/>
      <c r="E13" s="14"/>
      <c r="F13" s="14"/>
      <c r="G13" s="16" t="str">
        <f t="shared" si="2"/>
        <v/>
      </c>
      <c r="H13" s="8"/>
    </row>
    <row r="14">
      <c r="A14" s="13" t="str">
        <f>IF(7&lt;=DAY(EOMONTH(DATE(Consolidado!$E$4,Consolidado!$B$4,1),0)),DATE(Consolidado!$E$4,Consolidado!$B$4,7),"")</f>
        <v>#NUM!</v>
      </c>
      <c r="B14" s="8" t="str">
        <f t="shared" si="1"/>
        <v>#NUM!</v>
      </c>
      <c r="C14" s="14"/>
      <c r="D14" s="14"/>
      <c r="E14" s="14"/>
      <c r="F14" s="14"/>
      <c r="G14" s="16" t="str">
        <f t="shared" si="2"/>
        <v/>
      </c>
      <c r="H14" s="8"/>
    </row>
    <row r="15">
      <c r="A15" s="13" t="str">
        <f>IF(8&lt;=DAY(EOMONTH(DATE(Consolidado!$E$4,Consolidado!$B$4,1),0)),DATE(Consolidado!$E$4,Consolidado!$B$4,8),"")</f>
        <v>#NUM!</v>
      </c>
      <c r="B15" s="8" t="str">
        <f t="shared" si="1"/>
        <v>#NUM!</v>
      </c>
      <c r="C15" s="14"/>
      <c r="D15" s="14"/>
      <c r="E15" s="14"/>
      <c r="F15" s="14"/>
      <c r="G15" s="16" t="str">
        <f t="shared" si="2"/>
        <v/>
      </c>
      <c r="H15" s="8"/>
    </row>
    <row r="16">
      <c r="A16" s="13" t="str">
        <f>IF(9&lt;=DAY(EOMONTH(DATE(Consolidado!$E$4,Consolidado!$B$4,1),0)),DATE(Consolidado!$E$4,Consolidado!$B$4,9),"")</f>
        <v>#NUM!</v>
      </c>
      <c r="B16" s="8" t="str">
        <f t="shared" si="1"/>
        <v>#NUM!</v>
      </c>
      <c r="C16" s="14"/>
      <c r="D16" s="14"/>
      <c r="E16" s="14"/>
      <c r="F16" s="14"/>
      <c r="G16" s="16" t="str">
        <f t="shared" si="2"/>
        <v/>
      </c>
      <c r="H16" s="8"/>
    </row>
    <row r="17">
      <c r="A17" s="13" t="str">
        <f>IF(10&lt;=DAY(EOMONTH(DATE(Consolidado!$E$4,Consolidado!$B$4,1),0)),DATE(Consolidado!$E$4,Consolidado!$B$4,10),"")</f>
        <v>#NUM!</v>
      </c>
      <c r="B17" s="8" t="str">
        <f t="shared" si="1"/>
        <v>#NUM!</v>
      </c>
      <c r="C17" s="14"/>
      <c r="D17" s="14"/>
      <c r="E17" s="14"/>
      <c r="F17" s="14"/>
      <c r="G17" s="16" t="str">
        <f t="shared" si="2"/>
        <v/>
      </c>
      <c r="H17" s="8"/>
    </row>
    <row r="18">
      <c r="A18" s="13" t="str">
        <f>IF(11&lt;=DAY(EOMONTH(DATE(Consolidado!$E$4,Consolidado!$B$4,1),0)),DATE(Consolidado!$E$4,Consolidado!$B$4,11),"")</f>
        <v>#NUM!</v>
      </c>
      <c r="B18" s="8" t="str">
        <f t="shared" si="1"/>
        <v>#NUM!</v>
      </c>
      <c r="C18" s="14"/>
      <c r="D18" s="14"/>
      <c r="E18" s="14"/>
      <c r="F18" s="14"/>
      <c r="G18" s="16" t="str">
        <f t="shared" si="2"/>
        <v/>
      </c>
      <c r="H18" s="8"/>
    </row>
    <row r="19">
      <c r="A19" s="13" t="str">
        <f>IF(12&lt;=DAY(EOMONTH(DATE(Consolidado!$E$4,Consolidado!$B$4,1),0)),DATE(Consolidado!$E$4,Consolidado!$B$4,12),"")</f>
        <v>#NUM!</v>
      </c>
      <c r="B19" s="8" t="str">
        <f t="shared" si="1"/>
        <v>#NUM!</v>
      </c>
      <c r="C19" s="14"/>
      <c r="D19" s="14"/>
      <c r="E19" s="14"/>
      <c r="F19" s="14"/>
      <c r="G19" s="16" t="str">
        <f t="shared" si="2"/>
        <v/>
      </c>
      <c r="H19" s="8"/>
    </row>
    <row r="20">
      <c r="A20" s="13" t="str">
        <f>IF(13&lt;=DAY(EOMONTH(DATE(Consolidado!$E$4,Consolidado!$B$4,1),0)),DATE(Consolidado!$E$4,Consolidado!$B$4,13),"")</f>
        <v>#NUM!</v>
      </c>
      <c r="B20" s="8" t="str">
        <f t="shared" si="1"/>
        <v>#NUM!</v>
      </c>
      <c r="C20" s="14"/>
      <c r="D20" s="14"/>
      <c r="E20" s="14"/>
      <c r="F20" s="14"/>
      <c r="G20" s="16" t="str">
        <f t="shared" si="2"/>
        <v/>
      </c>
      <c r="H20" s="8"/>
    </row>
    <row r="21" ht="15.75" customHeight="1">
      <c r="A21" s="13" t="str">
        <f>IF(14&lt;=DAY(EOMONTH(DATE(Consolidado!$E$4,Consolidado!$B$4,1),0)),DATE(Consolidado!$E$4,Consolidado!$B$4,14),"")</f>
        <v>#NUM!</v>
      </c>
      <c r="B21" s="8" t="str">
        <f t="shared" si="1"/>
        <v>#NUM!</v>
      </c>
      <c r="C21" s="14"/>
      <c r="D21" s="14"/>
      <c r="E21" s="14"/>
      <c r="F21" s="14"/>
      <c r="G21" s="16" t="str">
        <f t="shared" si="2"/>
        <v/>
      </c>
      <c r="H21" s="8"/>
    </row>
    <row r="22" ht="15.75" customHeight="1">
      <c r="A22" s="13" t="str">
        <f>IF(15&lt;=DAY(EOMONTH(DATE(Consolidado!$E$4,Consolidado!$B$4,1),0)),DATE(Consolidado!$E$4,Consolidado!$B$4,15),"")</f>
        <v>#NUM!</v>
      </c>
      <c r="B22" s="8" t="str">
        <f t="shared" si="1"/>
        <v>#NUM!</v>
      </c>
      <c r="C22" s="14"/>
      <c r="D22" s="14"/>
      <c r="E22" s="14"/>
      <c r="F22" s="14"/>
      <c r="G22" s="16" t="str">
        <f t="shared" si="2"/>
        <v/>
      </c>
      <c r="H22" s="8"/>
    </row>
    <row r="23" ht="15.75" customHeight="1">
      <c r="A23" s="13" t="str">
        <f>IF(16&lt;=DAY(EOMONTH(DATE(Consolidado!$E$4,Consolidado!$B$4,1),0)),DATE(Consolidado!$E$4,Consolidado!$B$4,16),"")</f>
        <v>#NUM!</v>
      </c>
      <c r="B23" s="8" t="str">
        <f t="shared" si="1"/>
        <v>#NUM!</v>
      </c>
      <c r="C23" s="14"/>
      <c r="D23" s="14"/>
      <c r="E23" s="14"/>
      <c r="F23" s="14"/>
      <c r="G23" s="16" t="str">
        <f t="shared" si="2"/>
        <v/>
      </c>
      <c r="H23" s="8"/>
    </row>
    <row r="24" ht="15.75" customHeight="1">
      <c r="A24" s="13" t="str">
        <f>IF(17&lt;=DAY(EOMONTH(DATE(Consolidado!$E$4,Consolidado!$B$4,1),0)),DATE(Consolidado!$E$4,Consolidado!$B$4,17),"")</f>
        <v>#NUM!</v>
      </c>
      <c r="B24" s="8" t="str">
        <f t="shared" si="1"/>
        <v>#NUM!</v>
      </c>
      <c r="C24" s="14"/>
      <c r="D24" s="14"/>
      <c r="E24" s="14"/>
      <c r="F24" s="14"/>
      <c r="G24" s="16" t="str">
        <f t="shared" si="2"/>
        <v/>
      </c>
      <c r="H24" s="8"/>
    </row>
    <row r="25" ht="15.75" customHeight="1">
      <c r="A25" s="13" t="str">
        <f>IF(18&lt;=DAY(EOMONTH(DATE(Consolidado!$E$4,Consolidado!$B$4,1),0)),DATE(Consolidado!$E$4,Consolidado!$B$4,18),"")</f>
        <v>#NUM!</v>
      </c>
      <c r="B25" s="8" t="str">
        <f t="shared" si="1"/>
        <v>#NUM!</v>
      </c>
      <c r="C25" s="14"/>
      <c r="D25" s="14"/>
      <c r="E25" s="14"/>
      <c r="F25" s="14"/>
      <c r="G25" s="16" t="str">
        <f t="shared" si="2"/>
        <v/>
      </c>
      <c r="H25" s="8"/>
    </row>
    <row r="26" ht="15.75" customHeight="1">
      <c r="A26" s="13" t="str">
        <f>IF(19&lt;=DAY(EOMONTH(DATE(Consolidado!$E$4,Consolidado!$B$4,1),0)),DATE(Consolidado!$E$4,Consolidado!$B$4,19),"")</f>
        <v>#NUM!</v>
      </c>
      <c r="B26" s="8" t="str">
        <f t="shared" si="1"/>
        <v>#NUM!</v>
      </c>
      <c r="C26" s="14"/>
      <c r="D26" s="14"/>
      <c r="E26" s="14"/>
      <c r="F26" s="14"/>
      <c r="G26" s="16" t="str">
        <f t="shared" si="2"/>
        <v/>
      </c>
      <c r="H26" s="8"/>
    </row>
    <row r="27" ht="15.75" customHeight="1">
      <c r="A27" s="13" t="str">
        <f>IF(20&lt;=DAY(EOMONTH(DATE(Consolidado!$E$4,Consolidado!$B$4,1),0)),DATE(Consolidado!$E$4,Consolidado!$B$4,20),"")</f>
        <v>#NUM!</v>
      </c>
      <c r="B27" s="8" t="str">
        <f t="shared" si="1"/>
        <v>#NUM!</v>
      </c>
      <c r="C27" s="14"/>
      <c r="D27" s="14"/>
      <c r="E27" s="14"/>
      <c r="F27" s="14"/>
      <c r="G27" s="16" t="str">
        <f t="shared" si="2"/>
        <v/>
      </c>
      <c r="H27" s="8"/>
    </row>
    <row r="28" ht="15.75" customHeight="1">
      <c r="A28" s="13" t="str">
        <f>IF(21&lt;=DAY(EOMONTH(DATE(Consolidado!$E$4,Consolidado!$B$4,1),0)),DATE(Consolidado!$E$4,Consolidado!$B$4,21),"")</f>
        <v>#NUM!</v>
      </c>
      <c r="B28" s="8" t="str">
        <f t="shared" si="1"/>
        <v>#NUM!</v>
      </c>
      <c r="C28" s="14"/>
      <c r="D28" s="14"/>
      <c r="E28" s="14"/>
      <c r="F28" s="14"/>
      <c r="G28" s="16" t="str">
        <f t="shared" si="2"/>
        <v/>
      </c>
      <c r="H28" s="8"/>
    </row>
    <row r="29" ht="15.75" customHeight="1">
      <c r="A29" s="13" t="str">
        <f>IF(22&lt;=DAY(EOMONTH(DATE(Consolidado!$E$4,Consolidado!$B$4,1),0)),DATE(Consolidado!$E$4,Consolidado!$B$4,22),"")</f>
        <v>#NUM!</v>
      </c>
      <c r="B29" s="8" t="str">
        <f t="shared" si="1"/>
        <v>#NUM!</v>
      </c>
      <c r="C29" s="14"/>
      <c r="D29" s="14"/>
      <c r="E29" s="14"/>
      <c r="F29" s="14"/>
      <c r="G29" s="16" t="str">
        <f t="shared" si="2"/>
        <v/>
      </c>
      <c r="H29" s="8"/>
    </row>
    <row r="30" ht="15.75" customHeight="1">
      <c r="A30" s="13" t="str">
        <f>IF(23&lt;=DAY(EOMONTH(DATE(Consolidado!$E$4,Consolidado!$B$4,1),0)),DATE(Consolidado!$E$4,Consolidado!$B$4,23),"")</f>
        <v>#NUM!</v>
      </c>
      <c r="B30" s="8" t="str">
        <f t="shared" si="1"/>
        <v>#NUM!</v>
      </c>
      <c r="C30" s="14"/>
      <c r="D30" s="14"/>
      <c r="E30" s="14"/>
      <c r="F30" s="14"/>
      <c r="G30" s="16" t="str">
        <f t="shared" si="2"/>
        <v/>
      </c>
      <c r="H30" s="8"/>
    </row>
    <row r="31" ht="15.75" customHeight="1">
      <c r="A31" s="13" t="str">
        <f>IF(24&lt;=DAY(EOMONTH(DATE(Consolidado!$E$4,Consolidado!$B$4,1),0)),DATE(Consolidado!$E$4,Consolidado!$B$4,24),"")</f>
        <v>#NUM!</v>
      </c>
      <c r="B31" s="8" t="str">
        <f t="shared" si="1"/>
        <v>#NUM!</v>
      </c>
      <c r="C31" s="14"/>
      <c r="D31" s="14"/>
      <c r="E31" s="14"/>
      <c r="F31" s="14"/>
      <c r="G31" s="16" t="str">
        <f t="shared" si="2"/>
        <v/>
      </c>
      <c r="H31" s="8"/>
    </row>
    <row r="32" ht="15.75" customHeight="1">
      <c r="A32" s="13" t="str">
        <f>IF(25&lt;=DAY(EOMONTH(DATE(Consolidado!$E$4,Consolidado!$B$4,1),0)),DATE(Consolidado!$E$4,Consolidado!$B$4,25),"")</f>
        <v>#NUM!</v>
      </c>
      <c r="B32" s="8" t="str">
        <f t="shared" si="1"/>
        <v>#NUM!</v>
      </c>
      <c r="C32" s="14"/>
      <c r="D32" s="14"/>
      <c r="E32" s="14"/>
      <c r="F32" s="14"/>
      <c r="G32" s="16" t="str">
        <f t="shared" si="2"/>
        <v/>
      </c>
      <c r="H32" s="8"/>
    </row>
    <row r="33" ht="15.75" customHeight="1">
      <c r="A33" s="13" t="str">
        <f>IF(26&lt;=DAY(EOMONTH(DATE(Consolidado!$E$4,Consolidado!$B$4,1),0)),DATE(Consolidado!$E$4,Consolidado!$B$4,26),"")</f>
        <v>#NUM!</v>
      </c>
      <c r="B33" s="8" t="str">
        <f t="shared" si="1"/>
        <v>#NUM!</v>
      </c>
      <c r="C33" s="14"/>
      <c r="D33" s="14"/>
      <c r="E33" s="14"/>
      <c r="F33" s="14"/>
      <c r="G33" s="16" t="str">
        <f t="shared" si="2"/>
        <v/>
      </c>
      <c r="H33" s="8"/>
    </row>
    <row r="34" ht="15.75" customHeight="1">
      <c r="A34" s="13" t="str">
        <f>IF(27&lt;=DAY(EOMONTH(DATE(Consolidado!$E$4,Consolidado!$B$4,1),0)),DATE(Consolidado!$E$4,Consolidado!$B$4,27),"")</f>
        <v>#NUM!</v>
      </c>
      <c r="B34" s="8" t="str">
        <f t="shared" si="1"/>
        <v>#NUM!</v>
      </c>
      <c r="C34" s="14"/>
      <c r="D34" s="14"/>
      <c r="E34" s="14"/>
      <c r="F34" s="14"/>
      <c r="G34" s="16" t="str">
        <f t="shared" si="2"/>
        <v/>
      </c>
      <c r="H34" s="8"/>
    </row>
    <row r="35" ht="15.75" customHeight="1">
      <c r="A35" s="13" t="str">
        <f>IF(28&lt;=DAY(EOMONTH(DATE(Consolidado!$E$4,Consolidado!$B$4,1),0)),DATE(Consolidado!$E$4,Consolidado!$B$4,28),"")</f>
        <v>#NUM!</v>
      </c>
      <c r="B35" s="8" t="str">
        <f t="shared" si="1"/>
        <v>#NUM!</v>
      </c>
      <c r="C35" s="14"/>
      <c r="D35" s="14"/>
      <c r="E35" s="14"/>
      <c r="F35" s="14"/>
      <c r="G35" s="16" t="str">
        <f t="shared" si="2"/>
        <v/>
      </c>
      <c r="H35" s="8"/>
    </row>
    <row r="36" ht="15.75" customHeight="1">
      <c r="A36" s="13" t="str">
        <f>IF(29&lt;=DAY(EOMONTH(DATE(Consolidado!$E$4,Consolidado!$B$4,1),0)),DATE(Consolidado!$E$4,Consolidado!$B$4,29),"")</f>
        <v>#NUM!</v>
      </c>
      <c r="B36" s="8" t="str">
        <f t="shared" si="1"/>
        <v>#NUM!</v>
      </c>
      <c r="C36" s="14"/>
      <c r="D36" s="14"/>
      <c r="E36" s="14"/>
      <c r="F36" s="14"/>
      <c r="G36" s="16" t="str">
        <f t="shared" si="2"/>
        <v/>
      </c>
      <c r="H36" s="8"/>
    </row>
    <row r="37" ht="15.75" customHeight="1">
      <c r="A37" s="13" t="str">
        <f>IF(30&lt;=DAY(EOMONTH(DATE(Consolidado!$E$4,Consolidado!$B$4,1),0)),DATE(Consolidado!$E$4,Consolidado!$B$4,30),"")</f>
        <v>#NUM!</v>
      </c>
      <c r="B37" s="8" t="str">
        <f t="shared" si="1"/>
        <v>#NUM!</v>
      </c>
      <c r="C37" s="14"/>
      <c r="D37" s="14"/>
      <c r="E37" s="14"/>
      <c r="F37" s="14"/>
      <c r="G37" s="16" t="str">
        <f t="shared" si="2"/>
        <v/>
      </c>
      <c r="H37" s="8"/>
    </row>
    <row r="38" ht="15.75" customHeight="1">
      <c r="A38" s="13" t="str">
        <f>IF(31&lt;=DAY(EOMONTH(DATE(Consolidado!$E$4,Consolidado!$B$4,1),0)),DATE(Consolidado!$E$4,Consolidado!$B$4,31),"")</f>
        <v>#NUM!</v>
      </c>
      <c r="B38" s="8" t="str">
        <f t="shared" si="1"/>
        <v>#NUM!</v>
      </c>
      <c r="C38" s="14"/>
      <c r="D38" s="14"/>
      <c r="E38" s="14"/>
      <c r="F38" s="14"/>
      <c r="G38" s="16" t="str">
        <f t="shared" si="2"/>
        <v/>
      </c>
      <c r="H38" s="8"/>
    </row>
    <row r="39" ht="15.75" customHeight="1"/>
    <row r="40" ht="15.75" customHeight="1">
      <c r="F40" s="17" t="s">
        <v>32</v>
      </c>
      <c r="G40" s="18">
        <f>SUM(G8:G38)</f>
        <v>0</v>
      </c>
    </row>
    <row r="41" ht="15.75" customHeight="1">
      <c r="F41" s="19" t="s">
        <v>33</v>
      </c>
      <c r="G41" s="20">
        <f>G40*E5</f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A8:H38">
    <cfRule type="expression" dxfId="0" priority="1">
      <formula>WEEKDAY($A8,2)&gt;5</formula>
    </cfRule>
  </conditionalFormatting>
  <printOptions/>
  <pageMargins bottom="1.0" footer="0.0" header="0.0" left="0.75" right="0.75" top="1.0"/>
  <pageSetup paperSize="9" orientation="portrait"/>
  <drawing r:id="rId1"/>
</worksheet>
</file>